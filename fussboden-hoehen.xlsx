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Parameter" sheetId="2" state="visible" r:id="rId2"/>
    <sheet name="Messpunk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sz val="8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2" borderId="0" pivotButton="0" quotePrefix="0" xfId="0"/>
    <xf numFmtId="0" fontId="4" fillId="3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Aufmass</author>
  </authors>
  <commentList>
    <comment ref="A4" authorId="0" shapeId="0">
      <text>
        <t>Nullpunkt der Koordinaten ist die Raumecke unten links.
Eine Zelle ist 200 x 200 mm.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6"/>
  <sheetViews>
    <sheetView workbookViewId="0">
      <selection activeCell="A1" sqref="A1"/>
    </sheetView>
  </sheetViews>
  <sheetFormatPr baseColWidth="8" defaultRowHeight="15"/>
  <cols>
    <col width="5.2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  <col width="5.2" customWidth="1" min="36" max="36"/>
    <col width="5.2" customWidth="1" min="37" max="37"/>
    <col width="5.2" customWidth="1" min="38" max="38"/>
  </cols>
  <sheetData>
    <row r="1">
      <c r="A1" s="1" t="inlineStr">
        <is>
          <t>Grundriss - Hoehe relativ zur Raummitte [mm], positiv = hoeher</t>
        </is>
      </c>
    </row>
    <row r="2">
      <c r="A2" s="2" t="inlineStr">
        <is>
          <t>Blick von oben, wie die Skizze. Raster 200 mm. Graue Flaeche = Raum, weiss = ausserhalb (Kerbe oben links).</t>
        </is>
      </c>
    </row>
    <row r="3">
      <c r="A3" s="3" t="inlineStr">
        <is>
          <t>Hoehe relativ zur Raummitte [mm]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5" t="n"/>
      <c r="Y5" s="6">
        <f>Messpunkte!F2</f>
        <v/>
      </c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6">
        <f>Messpunkte!F3</f>
        <v/>
      </c>
      <c r="AJ5" s="5" t="n"/>
      <c r="AK5" s="5" t="n"/>
      <c r="AL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5" t="n"/>
      <c r="Y6" s="6">
        <f>Messpunkte!F4</f>
        <v/>
      </c>
      <c r="Z6" s="5" t="n"/>
      <c r="AA6" s="5" t="n"/>
      <c r="AB6" s="5" t="n"/>
      <c r="AC6" s="5" t="n"/>
      <c r="AD6" s="5" t="n"/>
      <c r="AE6" s="6">
        <f>Messpunkte!F5</f>
        <v/>
      </c>
      <c r="AF6" s="5" t="n"/>
      <c r="AG6" s="5" t="n"/>
      <c r="AH6" s="5" t="n"/>
      <c r="AI6" s="5" t="n"/>
      <c r="AJ6" s="6">
        <f>Messpunkte!F6</f>
        <v/>
      </c>
      <c r="AK6" s="5" t="n"/>
      <c r="AL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5" t="n"/>
      <c r="Y8" s="7">
        <f>Messpunkte!F7</f>
        <v/>
      </c>
      <c r="Z8" s="5" t="n"/>
      <c r="AA8" s="5" t="n"/>
      <c r="AB8" s="5" t="n"/>
      <c r="AC8" s="5" t="n"/>
      <c r="AD8" s="5" t="n"/>
      <c r="AE8" s="7">
        <f>Messpunkte!F8</f>
        <v/>
      </c>
      <c r="AF8" s="5" t="n"/>
      <c r="AG8" s="5" t="n"/>
      <c r="AH8" s="5" t="n"/>
      <c r="AI8" s="7">
        <f>Messpunkte!F9</f>
        <v/>
      </c>
      <c r="AJ8" s="5" t="n"/>
      <c r="AK8" s="5" t="n"/>
      <c r="AL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5" t="n"/>
      <c r="Y9" s="5" t="n"/>
      <c r="Z9" s="5" t="n"/>
      <c r="AA9" s="7">
        <f>Messpunkte!F10</f>
        <v/>
      </c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7">
        <f>Messpunkte!F11</f>
        <v/>
      </c>
      <c r="AJ10" s="5" t="n"/>
      <c r="AK10" s="5" t="n"/>
      <c r="AL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5" t="n"/>
      <c r="Y12" s="5" t="n"/>
      <c r="Z12" s="5" t="n"/>
      <c r="AA12" s="5" t="n"/>
      <c r="AB12" s="5" t="n"/>
      <c r="AC12" s="7">
        <f>Messpunkte!F12</f>
        <v/>
      </c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>
      <c r="A14" s="8">
        <f>Messpunkte!F13</f>
        <v/>
      </c>
      <c r="B14" s="8">
        <f>Messpunkte!F16</f>
        <v/>
      </c>
      <c r="C14" s="8">
        <f>Messpunkte!F17</f>
        <v/>
      </c>
      <c r="D14" s="4" t="n"/>
      <c r="E14" s="4" t="n"/>
      <c r="F14" s="4" t="n"/>
      <c r="G14" s="4" t="n"/>
      <c r="H14" s="4" t="n"/>
      <c r="I14" s="4" t="n"/>
      <c r="J14" s="4" t="n"/>
      <c r="K14" s="8">
        <f>Messpunkte!F14</f>
        <v/>
      </c>
      <c r="L14" s="8">
        <f>Messpunkte!F18</f>
        <v/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8">
        <f>Messpunkte!F15</f>
        <v/>
      </c>
      <c r="W14" s="8">
        <f>Messpunkte!F19</f>
        <v/>
      </c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>
      <c r="A15" s="5" t="n"/>
      <c r="B15" s="5" t="n"/>
      <c r="C15" s="7">
        <f>Messpunkte!F20</f>
        <v/>
      </c>
      <c r="D15" s="5" t="n"/>
      <c r="E15" s="5" t="n"/>
      <c r="F15" s="5" t="n"/>
      <c r="G15" s="5" t="n"/>
      <c r="H15" s="5" t="n"/>
      <c r="I15" s="5" t="n"/>
      <c r="J15" s="5" t="n"/>
      <c r="K15" s="7">
        <f>Messpunkte!F21</f>
        <v/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7">
        <f>Messpunkte!F22</f>
        <v/>
      </c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7">
        <f>Messpunkte!F27</f>
        <v/>
      </c>
    </row>
    <row r="17">
      <c r="A17" s="7">
        <f>Messpunkte!F23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9">
        <f>Messpunkte!F24</f>
        <v/>
      </c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7">
        <f>Messpunkte!F25</f>
        <v/>
      </c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7">
        <f>Messpunkte!F26</f>
        <v/>
      </c>
      <c r="AG21" s="5" t="n"/>
      <c r="AH21" s="5" t="n"/>
      <c r="AI21" s="5" t="n"/>
      <c r="AJ21" s="5" t="n"/>
      <c r="AK21" s="5" t="n"/>
      <c r="A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7">
        <f>Messpunkte!F28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7">
        <f>Messpunkte!F35</f>
        <v/>
      </c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7">
        <f>Messpunkte!F36</f>
        <v/>
      </c>
      <c r="AE25" s="5" t="n"/>
      <c r="AF25" s="5" t="n"/>
      <c r="AG25" s="5" t="n"/>
      <c r="AH25" s="5" t="n"/>
      <c r="AI25" s="5" t="n"/>
      <c r="AJ25" s="5" t="n"/>
      <c r="AK25" s="5" t="n"/>
      <c r="AL25" s="7">
        <f>Messpunkte!F29</f>
        <v/>
      </c>
    </row>
    <row r="26">
      <c r="A26" s="5" t="n"/>
      <c r="B26" s="5" t="n"/>
      <c r="C26" s="5" t="n"/>
      <c r="D26" s="5" t="n"/>
      <c r="E26" s="7">
        <f>Messpunkte!F31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>
      <c r="A27" s="7">
        <f>Messpunkte!F32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7">
        <f>Messpunkte!F30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7">
        <f>Messpunkte!F37</f>
        <v/>
      </c>
      <c r="R28" s="5" t="n"/>
      <c r="S28" s="6">
        <f>Messpunkte!F38</f>
        <v/>
      </c>
      <c r="T28" s="5" t="n"/>
      <c r="U28" s="5" t="n"/>
      <c r="V28" s="7">
        <f>Messpunkte!F39</f>
        <v/>
      </c>
      <c r="W28" s="5" t="n"/>
      <c r="X28" s="5" t="n"/>
      <c r="Y28" s="5" t="n"/>
      <c r="Z28" s="5" t="n"/>
      <c r="AA28" s="5" t="n"/>
      <c r="AB28" s="5" t="n"/>
      <c r="AC28" s="5" t="n"/>
      <c r="AD28" s="7">
        <f>Messpunkte!F40</f>
        <v/>
      </c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>
      <c r="A29" s="6">
        <f>Messpunkte!F33</f>
        <v/>
      </c>
      <c r="B29" s="5" t="n"/>
      <c r="C29" s="5" t="n"/>
      <c r="D29" s="7">
        <f>Messpunkte!F34</f>
        <v/>
      </c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7">
        <f>Messpunkte!F41</f>
        <v/>
      </c>
      <c r="AL29" s="5" t="n"/>
    </row>
    <row r="32">
      <c r="A32" s="3" t="inlineStr">
        <is>
          <t>Rohmesswerte [mm] - zum Abgleich mit der Skizze</t>
        </is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5" t="n"/>
      <c r="Y34" s="6">
        <f>Messpunkte!E2</f>
        <v/>
      </c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6">
        <f>Messpunkte!E3</f>
        <v/>
      </c>
      <c r="AJ34" s="5" t="n"/>
      <c r="AK34" s="5" t="n"/>
      <c r="AL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5" t="n"/>
      <c r="Y35" s="6">
        <f>Messpunkte!E4</f>
        <v/>
      </c>
      <c r="Z35" s="5" t="n"/>
      <c r="AA35" s="5" t="n"/>
      <c r="AB35" s="5" t="n"/>
      <c r="AC35" s="5" t="n"/>
      <c r="AD35" s="5" t="n"/>
      <c r="AE35" s="6">
        <f>Messpunkte!E5</f>
        <v/>
      </c>
      <c r="AF35" s="5" t="n"/>
      <c r="AG35" s="5" t="n"/>
      <c r="AH35" s="5" t="n"/>
      <c r="AI35" s="5" t="n"/>
      <c r="AJ35" s="6">
        <f>Messpunkte!E6</f>
        <v/>
      </c>
      <c r="AK35" s="5" t="n"/>
      <c r="AL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5" t="n"/>
      <c r="Y37" s="7">
        <f>Messpunkte!E7</f>
        <v/>
      </c>
      <c r="Z37" s="5" t="n"/>
      <c r="AA37" s="5" t="n"/>
      <c r="AB37" s="5" t="n"/>
      <c r="AC37" s="5" t="n"/>
      <c r="AD37" s="5" t="n"/>
      <c r="AE37" s="7">
        <f>Messpunkte!E8</f>
        <v/>
      </c>
      <c r="AF37" s="5" t="n"/>
      <c r="AG37" s="5" t="n"/>
      <c r="AH37" s="5" t="n"/>
      <c r="AI37" s="7">
        <f>Messpunkte!E9</f>
        <v/>
      </c>
      <c r="AJ37" s="5" t="n"/>
      <c r="AK37" s="5" t="n"/>
      <c r="AL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5" t="n"/>
      <c r="Y38" s="5" t="n"/>
      <c r="Z38" s="5" t="n"/>
      <c r="AA38" s="7">
        <f>Messpunkte!E10</f>
        <v/>
      </c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7">
        <f>Messpunkte!E11</f>
        <v/>
      </c>
      <c r="AJ39" s="5" t="n"/>
      <c r="AK39" s="5" t="n"/>
      <c r="AL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5" t="n"/>
      <c r="Y41" s="5" t="n"/>
      <c r="Z41" s="5" t="n"/>
      <c r="AA41" s="5" t="n"/>
      <c r="AB41" s="5" t="n"/>
      <c r="AC41" s="7">
        <f>Messpunkte!E12</f>
        <v/>
      </c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</row>
    <row r="43">
      <c r="A43" s="8">
        <f>Messpunkte!E13</f>
        <v/>
      </c>
      <c r="B43" s="8">
        <f>Messpunkte!E16</f>
        <v/>
      </c>
      <c r="C43" s="8">
        <f>Messpunkte!E17</f>
        <v/>
      </c>
      <c r="D43" s="4" t="n"/>
      <c r="E43" s="4" t="n"/>
      <c r="F43" s="4" t="n"/>
      <c r="G43" s="4" t="n"/>
      <c r="H43" s="4" t="n"/>
      <c r="I43" s="4" t="n"/>
      <c r="J43" s="4" t="n"/>
      <c r="K43" s="8">
        <f>Messpunkte!E14</f>
        <v/>
      </c>
      <c r="L43" s="8">
        <f>Messpunkte!E18</f>
        <v/>
      </c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8">
        <f>Messpunkte!E15</f>
        <v/>
      </c>
      <c r="W43" s="8">
        <f>Messpunkte!E19</f>
        <v/>
      </c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>
      <c r="A44" s="5" t="n"/>
      <c r="B44" s="5" t="n"/>
      <c r="C44" s="7">
        <f>Messpunkte!E20</f>
        <v/>
      </c>
      <c r="D44" s="5" t="n"/>
      <c r="E44" s="5" t="n"/>
      <c r="F44" s="5" t="n"/>
      <c r="G44" s="5" t="n"/>
      <c r="H44" s="5" t="n"/>
      <c r="I44" s="5" t="n"/>
      <c r="J44" s="5" t="n"/>
      <c r="K44" s="7">
        <f>Messpunkte!E21</f>
        <v/>
      </c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7">
        <f>Messpunkte!E22</f>
        <v/>
      </c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7">
        <f>Messpunkte!E27</f>
        <v/>
      </c>
    </row>
    <row r="46">
      <c r="A46" s="7">
        <f>Messpunkte!E23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9">
        <f>Messpunkte!E24</f>
        <v/>
      </c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7">
        <f>Messpunkte!E25</f>
        <v/>
      </c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7">
        <f>Messpunkte!E26</f>
        <v/>
      </c>
      <c r="AG50" s="5" t="n"/>
      <c r="AH50" s="5" t="n"/>
      <c r="AI50" s="5" t="n"/>
      <c r="AJ50" s="5" t="n"/>
      <c r="AK50" s="5" t="n"/>
      <c r="A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7">
        <f>Messpunkte!E28</f>
        <v/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7">
        <f>Messpunkte!E35</f>
        <v/>
      </c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7">
        <f>Messpunkte!E36</f>
        <v/>
      </c>
      <c r="AE54" s="5" t="n"/>
      <c r="AF54" s="5" t="n"/>
      <c r="AG54" s="5" t="n"/>
      <c r="AH54" s="5" t="n"/>
      <c r="AI54" s="5" t="n"/>
      <c r="AJ54" s="5" t="n"/>
      <c r="AK54" s="5" t="n"/>
      <c r="AL54" s="7">
        <f>Messpunkte!E29</f>
        <v/>
      </c>
    </row>
    <row r="55">
      <c r="A55" s="5" t="n"/>
      <c r="B55" s="5" t="n"/>
      <c r="C55" s="5" t="n"/>
      <c r="D55" s="5" t="n"/>
      <c r="E55" s="7">
        <f>Messpunkte!E31</f>
        <v/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</row>
    <row r="56">
      <c r="A56" s="7">
        <f>Messpunkte!E32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7">
        <f>Messpunkte!E30</f>
        <v/>
      </c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7">
        <f>Messpunkte!E37</f>
        <v/>
      </c>
      <c r="R57" s="5" t="n"/>
      <c r="S57" s="6">
        <f>Messpunkte!E38</f>
        <v/>
      </c>
      <c r="T57" s="5" t="n"/>
      <c r="U57" s="5" t="n"/>
      <c r="V57" s="7">
        <f>Messpunkte!E39</f>
        <v/>
      </c>
      <c r="W57" s="5" t="n"/>
      <c r="X57" s="5" t="n"/>
      <c r="Y57" s="5" t="n"/>
      <c r="Z57" s="5" t="n"/>
      <c r="AA57" s="5" t="n"/>
      <c r="AB57" s="5" t="n"/>
      <c r="AC57" s="5" t="n"/>
      <c r="AD57" s="7">
        <f>Messpunkte!E40</f>
        <v/>
      </c>
      <c r="AE57" s="5" t="n"/>
      <c r="AF57" s="5" t="n"/>
      <c r="AG57" s="5" t="n"/>
      <c r="AH57" s="5" t="n"/>
      <c r="AI57" s="5" t="n"/>
      <c r="AJ57" s="5" t="n"/>
      <c r="AK57" s="5" t="n"/>
      <c r="AL57" s="5" t="n"/>
    </row>
    <row r="58">
      <c r="A58" s="6">
        <f>Messpunkte!E33</f>
        <v/>
      </c>
      <c r="B58" s="5" t="n"/>
      <c r="C58" s="5" t="n"/>
      <c r="D58" s="7">
        <f>Messpunkte!E34</f>
        <v/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7">
        <f>Messpunkte!E41</f>
        <v/>
      </c>
      <c r="AL58" s="5" t="n"/>
    </row>
    <row r="61">
      <c r="A61" s="3" t="inlineStr">
        <is>
          <t>Legende</t>
        </is>
      </c>
    </row>
    <row r="62">
      <c r="A62" s="2" t="inlineStr">
        <is>
          <t>gelb = Referenzpunkt (die Null, Messwert 1464)</t>
        </is>
      </c>
    </row>
    <row r="63">
      <c r="A63" s="2" t="inlineStr">
        <is>
          <t>hellorange = kein Raumboden (Kueche, Nachbarraum, Stufe, Schwelle)</t>
        </is>
      </c>
    </row>
    <row r="64">
      <c r="A64" s="2" t="inlineStr">
        <is>
          <t>grau = Raumflaeche, weiss = ausserhalb</t>
        </is>
      </c>
    </row>
    <row r="65">
      <c r="A65" s="2" t="inlineStr">
        <is>
          <t>rot = tief, gruen = hoch</t>
        </is>
      </c>
    </row>
    <row r="66">
      <c r="A66" s="2" t="inlineStr">
        <is>
          <t>Positionen sind aus dem Foto geschaetzt - siehe Blatt Parameter.</t>
        </is>
      </c>
    </row>
  </sheetData>
  <conditionalFormatting sqref="A4:AL2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</cols>
  <sheetData>
    <row r="1">
      <c r="A1" s="1" t="inlineStr">
        <is>
          <t>Parameter und Annahmen</t>
        </is>
      </c>
    </row>
    <row r="3">
      <c r="A3" s="10" t="inlineStr">
        <is>
          <t>Groesse</t>
        </is>
      </c>
      <c r="B3" s="10" t="inlineStr">
        <is>
          <t>Wert</t>
        </is>
      </c>
      <c r="C3" s="10" t="inlineStr">
        <is>
          <t>Herkunft</t>
        </is>
      </c>
    </row>
    <row r="4">
      <c r="A4" s="2" t="inlineStr">
        <is>
          <t>Nullwert (Messwert in der Raummitte)</t>
        </is>
      </c>
      <c r="B4" s="11" t="n">
        <v>1464</v>
      </c>
      <c r="C4" s="2" t="inlineStr">
        <is>
          <t>mm - die eingekreiste Zahl in der Skizzenmitte. Aendern rechnet alles nach.</t>
        </is>
      </c>
    </row>
    <row r="5">
      <c r="A5" s="2" t="inlineStr">
        <is>
          <t>Untere Raumkante</t>
        </is>
      </c>
      <c r="B5" s="2" t="n">
        <v>7600</v>
      </c>
      <c r="C5" s="2" t="inlineStr">
        <is>
          <t>mm - vom Nutzer vorgegeben, die einzige bekannte Laenge</t>
        </is>
      </c>
    </row>
    <row r="6">
      <c r="A6" s="2" t="inlineStr">
        <is>
          <t>Raumtiefe rechter Schenkel</t>
        </is>
      </c>
      <c r="B6" s="2" t="n">
        <v>5004</v>
      </c>
      <c r="C6" s="2" t="inlineStr">
        <is>
          <t>mm - aus dem Foto ueber den Massstab der unteren Kante</t>
        </is>
      </c>
    </row>
    <row r="7">
      <c r="A7" s="2" t="inlineStr">
        <is>
          <t>Knick: Breite linker Schenkel</t>
        </is>
      </c>
      <c r="B7" s="2" t="n">
        <v>4571</v>
      </c>
      <c r="C7" s="2" t="inlineStr">
        <is>
          <t>mm - geschaetzt aus dem Foto</t>
        </is>
      </c>
    </row>
    <row r="8">
      <c r="A8" s="2" t="inlineStr">
        <is>
          <t>Knick: Tiefe linker Schenkel</t>
        </is>
      </c>
      <c r="B8" s="2" t="n">
        <v>3019</v>
      </c>
      <c r="C8" s="2" t="inlineStr">
        <is>
          <t>mm - geschaetzt aus dem Foto</t>
        </is>
      </c>
    </row>
    <row r="9">
      <c r="A9" s="2" t="inlineStr">
        <is>
          <t>Massstab</t>
        </is>
      </c>
      <c r="B9" s="2" t="n">
        <v>5.4093</v>
      </c>
      <c r="C9" s="2" t="inlineStr">
        <is>
          <t>mm je Bildpunkt, aus 7600 mm / 1405 px</t>
        </is>
      </c>
    </row>
    <row r="10">
      <c r="A10" s="2" t="inlineStr">
        <is>
          <t>Rastergroesse Plan</t>
        </is>
      </c>
      <c r="B10" s="2" t="n">
        <v>200</v>
      </c>
      <c r="C10" s="2" t="inlineStr">
        <is>
          <t>mm Kantenlaenge einer Zelle im Blatt Plan</t>
        </is>
      </c>
    </row>
    <row r="12">
      <c r="A12" s="2" t="inlineStr"/>
    </row>
    <row r="13">
      <c r="A13" s="3" t="inlineStr">
        <is>
          <t>Vorzeichen</t>
        </is>
      </c>
    </row>
    <row r="14">
      <c r="A14" s="2" t="inlineStr">
        <is>
          <t>Gemessen wurde mit Gliedermassstab auf dem Boden, abgelesen am Laser.</t>
        </is>
      </c>
    </row>
    <row r="15">
      <c r="A15" s="2" t="inlineStr">
        <is>
          <t>Groesserer Messwert = Punkt liegt TIEFER.  Hoehe = Nullwert - Messwert.</t>
        </is>
      </c>
    </row>
    <row r="16">
      <c r="A16" s="2" t="inlineStr">
        <is>
          <t>Positive Hoehe = hoeher als die Raummitte, negative = tiefer.</t>
        </is>
      </c>
    </row>
    <row r="17">
      <c r="A17" s="2" t="inlineStr"/>
    </row>
    <row r="18">
      <c r="A18" s="3" t="inlineStr">
        <is>
          <t>Positionen</t>
        </is>
      </c>
    </row>
    <row r="19">
      <c r="A19" s="2" t="inlineStr">
        <is>
          <t>Alle x/y sind VISUELL aus dem Foto geschaetzt, nicht gemessen. Massstab ist</t>
        </is>
      </c>
    </row>
    <row r="20">
      <c r="A20" s="2" t="inlineStr">
        <is>
          <t>allein die untere Raumkante mit 7600 mm. Rechne mit einigen Zentimetern</t>
        </is>
      </c>
    </row>
    <row r="21">
      <c r="A21" s="2" t="inlineStr">
        <is>
          <t>Lageunsicherheit je Punkt; die Messwerte selbst sind davon unberuehrt.</t>
        </is>
      </c>
    </row>
    <row r="22">
      <c r="A22" s="2" t="inlineStr">
        <is>
          <t>Nullpunkt der Koordinaten: Raumecke unten links, x nach rechts, y nach oben.</t>
        </is>
      </c>
    </row>
    <row r="23">
      <c r="A23" s="2" t="inlineStr"/>
    </row>
    <row r="24">
      <c r="A24" s="3" t="inlineStr">
        <is>
          <t>Bereiche</t>
        </is>
      </c>
    </row>
    <row r="25">
      <c r="A25" s="2" t="inlineStr">
        <is>
          <t>Nur 'Boden' ist die Flaeche dieses Raums. 'Kueche' und 'Nachbarraum' liegen</t>
        </is>
      </c>
    </row>
    <row r="26">
      <c r="A26" s="2" t="inlineStr">
        <is>
          <t>hinter einer Stufe, 'Stufe' ist deren Oberkante, 'Schwelle' sind die in der</t>
        </is>
      </c>
    </row>
    <row r="27">
      <c r="A27" s="2" t="inlineStr">
        <is>
          <t>Skizze eingekaestelten Punkte. Die Auswertung unten zaehlt nur 'Boden'.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0" customWidth="1" min="4" max="4"/>
    <col width="15" customWidth="1" min="5" max="5"/>
    <col width="22" customWidth="1" min="6" max="6"/>
    <col width="52" customWidth="1" min="7" max="7"/>
    <col width="20" customWidth="1" min="8" max="8"/>
  </cols>
  <sheetData>
    <row r="1">
      <c r="A1" s="12" t="inlineStr">
        <is>
          <t>Nr</t>
        </is>
      </c>
      <c r="B1" s="12" t="inlineStr">
        <is>
          <t>Bereich</t>
        </is>
      </c>
      <c r="C1" s="12" t="inlineStr">
        <is>
          <t>x [mm]</t>
        </is>
      </c>
      <c r="D1" s="12" t="inlineStr">
        <is>
          <t>y [mm]</t>
        </is>
      </c>
      <c r="E1" s="12" t="inlineStr">
        <is>
          <t>Messwert [mm]</t>
        </is>
      </c>
      <c r="F1" s="12" t="inlineStr">
        <is>
          <t>Hoehe rel. Mitte [mm]</t>
        </is>
      </c>
      <c r="G1" s="12" t="inlineStr">
        <is>
          <t>Bemerkung</t>
        </is>
      </c>
      <c r="H1" s="12" t="inlineStr">
        <is>
          <t>nur Raumboden [mm]</t>
        </is>
      </c>
    </row>
    <row r="2">
      <c r="A2" s="2" t="n">
        <v>1</v>
      </c>
      <c r="B2" s="2" t="inlineStr">
        <is>
          <t>Kueche</t>
        </is>
      </c>
      <c r="C2" s="2" t="n">
        <v>4895</v>
      </c>
      <c r="D2" s="2" t="n">
        <v>4922</v>
      </c>
      <c r="E2" s="2" t="n">
        <v>1299</v>
      </c>
      <c r="F2" s="2">
        <f>Parameter!$B$4-E2</f>
        <v/>
      </c>
      <c r="G2" s="2" t="inlineStr">
        <is>
          <t>Tabelle oben rechts, Zeile Kueche</t>
        </is>
      </c>
      <c r="H2" s="2">
        <f>IF(B2="Boden",F2,"")</f>
        <v/>
      </c>
    </row>
    <row r="3">
      <c r="A3" s="2" t="n">
        <v>2</v>
      </c>
      <c r="B3" s="2" t="inlineStr">
        <is>
          <t>Kueche</t>
        </is>
      </c>
      <c r="C3" s="2" t="n">
        <v>6870</v>
      </c>
      <c r="D3" s="2" t="n">
        <v>4939</v>
      </c>
      <c r="E3" s="2" t="n">
        <v>1300</v>
      </c>
      <c r="F3" s="2">
        <f>Parameter!$B$4-E3</f>
        <v/>
      </c>
      <c r="G3" s="2" t="inlineStr">
        <is>
          <t>Tabelle oben rechts, Zeile Kueche</t>
        </is>
      </c>
      <c r="H3" s="2">
        <f>IF(B3="Boden",F3,"")</f>
        <v/>
      </c>
    </row>
    <row r="4">
      <c r="A4" s="2" t="n">
        <v>3</v>
      </c>
      <c r="B4" s="2" t="inlineStr">
        <is>
          <t>Stufe</t>
        </is>
      </c>
      <c r="C4" s="2" t="n">
        <v>4895</v>
      </c>
      <c r="D4" s="2" t="n">
        <v>4630</v>
      </c>
      <c r="E4" s="2" t="n">
        <v>1407</v>
      </c>
      <c r="F4" s="2">
        <f>Parameter!$B$4-E4</f>
        <v/>
      </c>
      <c r="G4" s="2" t="inlineStr">
        <is>
          <t>Tabelle oben rechts, Zeile Stufe</t>
        </is>
      </c>
      <c r="H4" s="2">
        <f>IF(B4="Boden",F4,"")</f>
        <v/>
      </c>
    </row>
    <row r="5">
      <c r="A5" s="2" t="n">
        <v>4</v>
      </c>
      <c r="B5" s="2" t="inlineStr">
        <is>
          <t>Stufe</t>
        </is>
      </c>
      <c r="C5" s="2" t="n">
        <v>6004</v>
      </c>
      <c r="D5" s="2" t="n">
        <v>4641</v>
      </c>
      <c r="E5" s="2" t="n">
        <v>1388</v>
      </c>
      <c r="F5" s="2">
        <f>Parameter!$B$4-E5</f>
        <v/>
      </c>
      <c r="G5" s="2" t="inlineStr">
        <is>
          <t>Tabelle oben rechts, Zeile Stufe</t>
        </is>
      </c>
      <c r="H5" s="2">
        <f>IF(B5="Boden",F5,"")</f>
        <v/>
      </c>
    </row>
    <row r="6">
      <c r="A6" s="2" t="n">
        <v>5</v>
      </c>
      <c r="B6" s="2" t="inlineStr">
        <is>
          <t>Stufe</t>
        </is>
      </c>
      <c r="C6" s="2" t="n">
        <v>7032</v>
      </c>
      <c r="D6" s="2" t="n">
        <v>4641</v>
      </c>
      <c r="E6" s="2" t="n">
        <v>1366</v>
      </c>
      <c r="F6" s="2">
        <f>Parameter!$B$4-E6</f>
        <v/>
      </c>
      <c r="G6" s="2" t="inlineStr">
        <is>
          <t>Tabelle oben rechts, Zeile Stufe</t>
        </is>
      </c>
      <c r="H6" s="2">
        <f>IF(B6="Boden",F6,"")</f>
        <v/>
      </c>
    </row>
    <row r="7">
      <c r="A7" s="2" t="n">
        <v>6</v>
      </c>
      <c r="B7" s="2" t="inlineStr">
        <is>
          <t>Boden</t>
        </is>
      </c>
      <c r="C7" s="2" t="n">
        <v>4868</v>
      </c>
      <c r="D7" s="2" t="n">
        <v>4327</v>
      </c>
      <c r="E7" s="2" t="n">
        <v>1444</v>
      </c>
      <c r="F7" s="2">
        <f>Parameter!$B$4-E7</f>
        <v/>
      </c>
      <c r="G7" s="2" t="inlineStr">
        <is>
          <t>Tabelle oben rechts, Zeile Boden</t>
        </is>
      </c>
      <c r="H7" s="2">
        <f>IF(B7="Boden",F7,"")</f>
        <v/>
      </c>
    </row>
    <row r="8">
      <c r="A8" s="2" t="n">
        <v>7</v>
      </c>
      <c r="B8" s="2" t="inlineStr">
        <is>
          <t>Boden</t>
        </is>
      </c>
      <c r="C8" s="2" t="n">
        <v>6004</v>
      </c>
      <c r="D8" s="2" t="n">
        <v>4327</v>
      </c>
      <c r="E8" s="2" t="n">
        <v>1458</v>
      </c>
      <c r="F8" s="2">
        <f>Parameter!$B$4-E8</f>
        <v/>
      </c>
      <c r="G8" s="2" t="inlineStr">
        <is>
          <t>Tabelle oben rechts, Zeile Boden</t>
        </is>
      </c>
      <c r="H8" s="2">
        <f>IF(B8="Boden",F8,"")</f>
        <v/>
      </c>
    </row>
    <row r="9">
      <c r="A9" s="2" t="n">
        <v>8</v>
      </c>
      <c r="B9" s="2" t="inlineStr">
        <is>
          <t>Boden</t>
        </is>
      </c>
      <c r="C9" s="2" t="n">
        <v>6951</v>
      </c>
      <c r="D9" s="2" t="n">
        <v>4327</v>
      </c>
      <c r="E9" s="2" t="n">
        <v>1458</v>
      </c>
      <c r="F9" s="2">
        <f>Parameter!$B$4-E9</f>
        <v/>
      </c>
      <c r="G9" s="2" t="inlineStr">
        <is>
          <t>Tabelle oben rechts, Zeile Boden</t>
        </is>
      </c>
      <c r="H9" s="2">
        <f>IF(B9="Boden",F9,"")</f>
        <v/>
      </c>
    </row>
    <row r="10">
      <c r="A10" s="2" t="n">
        <v>9</v>
      </c>
      <c r="B10" s="2" t="inlineStr">
        <is>
          <t>Boden</t>
        </is>
      </c>
      <c r="C10" s="2" t="n">
        <v>5317</v>
      </c>
      <c r="D10" s="2" t="n">
        <v>4035</v>
      </c>
      <c r="E10" s="2" t="n">
        <v>1455</v>
      </c>
      <c r="F10" s="2">
        <f>Parameter!$B$4-E10</f>
        <v/>
      </c>
      <c r="G10" s="2" t="inlineStr"/>
      <c r="H10" s="2">
        <f>IF(B10="Boden",F10,"")</f>
        <v/>
      </c>
    </row>
    <row r="11">
      <c r="A11" s="2" t="n">
        <v>10</v>
      </c>
      <c r="B11" s="2" t="inlineStr">
        <is>
          <t>Boden</t>
        </is>
      </c>
      <c r="C11" s="2" t="n">
        <v>6843</v>
      </c>
      <c r="D11" s="2" t="n">
        <v>3814</v>
      </c>
      <c r="E11" s="2" t="n">
        <v>1463</v>
      </c>
      <c r="F11" s="2">
        <f>Parameter!$B$4-E11</f>
        <v/>
      </c>
      <c r="G11" s="2" t="inlineStr"/>
      <c r="H11" s="2">
        <f>IF(B11="Boden",F11,"")</f>
        <v/>
      </c>
    </row>
    <row r="12">
      <c r="A12" s="2" t="n">
        <v>11</v>
      </c>
      <c r="B12" s="2" t="inlineStr">
        <is>
          <t>Boden</t>
        </is>
      </c>
      <c r="C12" s="2" t="n">
        <v>5788</v>
      </c>
      <c r="D12" s="2" t="n">
        <v>3462</v>
      </c>
      <c r="E12" s="2" t="n">
        <v>1463</v>
      </c>
      <c r="F12" s="2">
        <f>Parameter!$B$4-E12</f>
        <v/>
      </c>
      <c r="G12" s="2" t="inlineStr"/>
      <c r="H12" s="2">
        <f>IF(B12="Boden",F12,"")</f>
        <v/>
      </c>
    </row>
    <row r="13">
      <c r="A13" s="2" t="n">
        <v>12</v>
      </c>
      <c r="B13" s="2" t="inlineStr">
        <is>
          <t>Nachbarraum</t>
        </is>
      </c>
      <c r="C13" s="2" t="n">
        <v>0</v>
      </c>
      <c r="D13" s="2" t="n">
        <v>3019</v>
      </c>
      <c r="E13" s="2" t="n">
        <v>1303</v>
      </c>
      <c r="F13" s="2">
        <f>Parameter!$B$4-E13</f>
        <v/>
      </c>
      <c r="G13" s="2" t="inlineStr">
        <is>
          <t>linkes Band, obere Zeile; Beschriftung lag ausserhalb, auf die Wand gesetzt</t>
        </is>
      </c>
      <c r="H13" s="2">
        <f>IF(B13="Boden",F13,"")</f>
        <v/>
      </c>
    </row>
    <row r="14">
      <c r="A14" s="2" t="n">
        <v>13</v>
      </c>
      <c r="B14" s="2" t="inlineStr">
        <is>
          <t>Nachbarraum</t>
        </is>
      </c>
      <c r="C14" s="2" t="n">
        <v>2083</v>
      </c>
      <c r="D14" s="2" t="n">
        <v>3019</v>
      </c>
      <c r="E14" s="2" t="n">
        <v>1304</v>
      </c>
      <c r="F14" s="2">
        <f>Parameter!$B$4-E14</f>
        <v/>
      </c>
      <c r="G14" s="2" t="inlineStr">
        <is>
          <t>linkes Band, obere Zeile; Beschriftung lag ausserhalb, auf die Wand gesetzt</t>
        </is>
      </c>
      <c r="H14" s="2">
        <f>IF(B14="Boden",F14,"")</f>
        <v/>
      </c>
    </row>
    <row r="15">
      <c r="A15" s="2" t="n">
        <v>14</v>
      </c>
      <c r="B15" s="2" t="inlineStr">
        <is>
          <t>Nachbarraum</t>
        </is>
      </c>
      <c r="C15" s="2" t="n">
        <v>4262</v>
      </c>
      <c r="D15" s="2" t="n">
        <v>3019</v>
      </c>
      <c r="E15" s="2" t="n">
        <v>1303</v>
      </c>
      <c r="F15" s="2">
        <f>Parameter!$B$4-E15</f>
        <v/>
      </c>
      <c r="G15" s="2" t="inlineStr">
        <is>
          <t>linkes Band, obere Zeile; Beschriftung lag ausserhalb, auf die Wand gesetzt</t>
        </is>
      </c>
      <c r="H15" s="2">
        <f>IF(B15="Boden",F15,"")</f>
        <v/>
      </c>
    </row>
    <row r="16">
      <c r="A16" s="2" t="n">
        <v>15</v>
      </c>
      <c r="B16" s="2" t="inlineStr">
        <is>
          <t>Stufe</t>
        </is>
      </c>
      <c r="C16" s="2" t="n">
        <v>27</v>
      </c>
      <c r="D16" s="2" t="n">
        <v>3019</v>
      </c>
      <c r="E16" s="2" t="n">
        <v>1434</v>
      </c>
      <c r="F16" s="2">
        <f>Parameter!$B$4-E16</f>
        <v/>
      </c>
      <c r="G16" s="2" t="inlineStr">
        <is>
          <t>eingekreist in der Skizze; Beschriftung lag ausserhalb, auf die Wand gesetzt</t>
        </is>
      </c>
      <c r="H16" s="2">
        <f>IF(B16="Boden",F16,"")</f>
        <v/>
      </c>
    </row>
    <row r="17">
      <c r="A17" s="2" t="n">
        <v>16</v>
      </c>
      <c r="B17" s="2" t="inlineStr">
        <is>
          <t>Stufe</t>
        </is>
      </c>
      <c r="C17" s="2" t="n">
        <v>325</v>
      </c>
      <c r="D17" s="2" t="n">
        <v>3019</v>
      </c>
      <c r="E17" s="2" t="n">
        <v>1373</v>
      </c>
      <c r="F17" s="2">
        <f>Parameter!$B$4-E17</f>
        <v/>
      </c>
      <c r="G17" s="2" t="inlineStr">
        <is>
          <t>linkes Band, mittlere Zeile; Beschriftung lag ausserhalb, auf die Wand gesetzt</t>
        </is>
      </c>
      <c r="H17" s="2">
        <f>IF(B17="Boden",F17,"")</f>
        <v/>
      </c>
    </row>
    <row r="18">
      <c r="A18" s="2" t="n">
        <v>17</v>
      </c>
      <c r="B18" s="2" t="inlineStr">
        <is>
          <t>Stufe</t>
        </is>
      </c>
      <c r="C18" s="2" t="n">
        <v>2110</v>
      </c>
      <c r="D18" s="2" t="n">
        <v>3019</v>
      </c>
      <c r="E18" s="2" t="n">
        <v>1394</v>
      </c>
      <c r="F18" s="2">
        <f>Parameter!$B$4-E18</f>
        <v/>
      </c>
      <c r="G18" s="2" t="inlineStr">
        <is>
          <t>linkes Band, mittlere Zeile; Beschriftung lag ausserhalb, auf die Wand gesetzt</t>
        </is>
      </c>
      <c r="H18" s="2">
        <f>IF(B18="Boden",F18,"")</f>
        <v/>
      </c>
    </row>
    <row r="19">
      <c r="A19" s="2" t="n">
        <v>18</v>
      </c>
      <c r="B19" s="2" t="inlineStr">
        <is>
          <t>Stufe</t>
        </is>
      </c>
      <c r="C19" s="2" t="n">
        <v>4284</v>
      </c>
      <c r="D19" s="2" t="n">
        <v>3019</v>
      </c>
      <c r="E19" s="2" t="n">
        <v>1398</v>
      </c>
      <c r="F19" s="2">
        <f>Parameter!$B$4-E19</f>
        <v/>
      </c>
      <c r="G19" s="2" t="inlineStr">
        <is>
          <t>linkes Band, mittlere Zeile; Beschriftung lag ausserhalb, auf die Wand gesetzt</t>
        </is>
      </c>
      <c r="H19" s="2">
        <f>IF(B19="Boden",F19,"")</f>
        <v/>
      </c>
    </row>
    <row r="20">
      <c r="A20" s="2" t="n">
        <v>19</v>
      </c>
      <c r="B20" s="2" t="inlineStr">
        <is>
          <t>Boden</t>
        </is>
      </c>
      <c r="C20" s="2" t="n">
        <v>460</v>
      </c>
      <c r="D20" s="2" t="n">
        <v>2813</v>
      </c>
      <c r="E20" s="2" t="n">
        <v>1470</v>
      </c>
      <c r="F20" s="2">
        <f>Parameter!$B$4-E20</f>
        <v/>
      </c>
      <c r="G20" s="2" t="inlineStr"/>
      <c r="H20" s="2">
        <f>IF(B20="Boden",F20,"")</f>
        <v/>
      </c>
    </row>
    <row r="21">
      <c r="A21" s="2" t="n">
        <v>20</v>
      </c>
      <c r="B21" s="2" t="inlineStr">
        <is>
          <t>Boden</t>
        </is>
      </c>
      <c r="C21" s="2" t="n">
        <v>2110</v>
      </c>
      <c r="D21" s="2" t="n">
        <v>2856</v>
      </c>
      <c r="E21" s="2" t="n">
        <v>1472</v>
      </c>
      <c r="F21" s="2">
        <f>Parameter!$B$4-E21</f>
        <v/>
      </c>
      <c r="G21" s="2" t="inlineStr"/>
      <c r="H21" s="2">
        <f>IF(B21="Boden",F21,"")</f>
        <v/>
      </c>
    </row>
    <row r="22">
      <c r="A22" s="2" t="n">
        <v>21</v>
      </c>
      <c r="B22" s="2" t="inlineStr">
        <is>
          <t>Boden</t>
        </is>
      </c>
      <c r="C22" s="2" t="n">
        <v>4300</v>
      </c>
      <c r="D22" s="2" t="n">
        <v>2872</v>
      </c>
      <c r="E22" s="2" t="n">
        <v>1465</v>
      </c>
      <c r="F22" s="2">
        <f>Parameter!$B$4-E22</f>
        <v/>
      </c>
      <c r="G22" s="2" t="inlineStr"/>
      <c r="H22" s="2">
        <f>IF(B22="Boden",F22,"")</f>
        <v/>
      </c>
    </row>
    <row r="23">
      <c r="A23" s="2" t="n">
        <v>22</v>
      </c>
      <c r="B23" s="2" t="inlineStr">
        <is>
          <t>Boden</t>
        </is>
      </c>
      <c r="C23" s="2" t="n">
        <v>0</v>
      </c>
      <c r="D23" s="2" t="n">
        <v>2504</v>
      </c>
      <c r="E23" s="2" t="n">
        <v>1470</v>
      </c>
      <c r="F23" s="2">
        <f>Parameter!$B$4-E23</f>
        <v/>
      </c>
      <c r="G23" s="2" t="inlineStr">
        <is>
          <t>an der Tuer links; Beschriftung lag ausserhalb, auf die Wand gesetzt</t>
        </is>
      </c>
      <c r="H23" s="2">
        <f>IF(B23="Boden",F23,"")</f>
        <v/>
      </c>
    </row>
    <row r="24">
      <c r="A24" s="2" t="n">
        <v>23</v>
      </c>
      <c r="B24" s="2" t="inlineStr">
        <is>
          <t>Boden</t>
        </is>
      </c>
      <c r="C24" s="2" t="n">
        <v>3922</v>
      </c>
      <c r="D24" s="2" t="n">
        <v>2028</v>
      </c>
      <c r="E24" s="2" t="n">
        <v>1464</v>
      </c>
      <c r="F24" s="2">
        <f>Parameter!$B$4-E24</f>
        <v/>
      </c>
      <c r="G24" s="2" t="inlineStr">
        <is>
          <t>REFERENZ - eingekreist, die Null</t>
        </is>
      </c>
      <c r="H24" s="2">
        <f>IF(B24="Boden",F24,"")</f>
        <v/>
      </c>
    </row>
    <row r="25">
      <c r="A25" s="2" t="n">
        <v>24</v>
      </c>
      <c r="B25" s="2" t="inlineStr">
        <is>
          <t>Boden</t>
        </is>
      </c>
      <c r="C25" s="2" t="n">
        <v>1812</v>
      </c>
      <c r="D25" s="2" t="n">
        <v>1720</v>
      </c>
      <c r="E25" s="2" t="n">
        <v>1471</v>
      </c>
      <c r="F25" s="2">
        <f>Parameter!$B$4-E25</f>
        <v/>
      </c>
      <c r="G25" s="2" t="inlineStr"/>
      <c r="H25" s="2">
        <f>IF(B25="Boden",F25,"")</f>
        <v/>
      </c>
    </row>
    <row r="26">
      <c r="A26" s="2" t="n">
        <v>25</v>
      </c>
      <c r="B26" s="2" t="inlineStr">
        <is>
          <t>Boden</t>
        </is>
      </c>
      <c r="C26" s="2" t="n">
        <v>6302</v>
      </c>
      <c r="D26" s="2" t="n">
        <v>1747</v>
      </c>
      <c r="E26" s="2" t="n">
        <v>1465</v>
      </c>
      <c r="F26" s="2">
        <f>Parameter!$B$4-E26</f>
        <v/>
      </c>
      <c r="G26" s="2" t="inlineStr"/>
      <c r="H26" s="2">
        <f>IF(B26="Boden",F26,"")</f>
        <v/>
      </c>
    </row>
    <row r="27">
      <c r="A27" s="2" t="n">
        <v>26</v>
      </c>
      <c r="B27" s="2" t="inlineStr">
        <is>
          <t>Boden</t>
        </is>
      </c>
      <c r="C27" s="2" t="n">
        <v>7600</v>
      </c>
      <c r="D27" s="2" t="n">
        <v>2640</v>
      </c>
      <c r="E27" s="2" t="n">
        <v>1456</v>
      </c>
      <c r="F27" s="2">
        <f>Parameter!$B$4-E27</f>
        <v/>
      </c>
      <c r="G27" s="2" t="inlineStr">
        <is>
          <t>an der Wand rechts; Beschriftung lag ausserhalb, auf die Wand gesetzt</t>
        </is>
      </c>
      <c r="H27" s="2">
        <f>IF(B27="Boden",F27,"")</f>
        <v/>
      </c>
    </row>
    <row r="28">
      <c r="A28" s="2" t="n">
        <v>27</v>
      </c>
      <c r="B28" s="2" t="inlineStr">
        <is>
          <t>Boden</t>
        </is>
      </c>
      <c r="C28" s="2" t="n">
        <v>7600</v>
      </c>
      <c r="D28" s="2" t="n">
        <v>1341</v>
      </c>
      <c r="E28" s="2" t="n">
        <v>1452</v>
      </c>
      <c r="F28" s="2">
        <f>Parameter!$B$4-E28</f>
        <v/>
      </c>
      <c r="G28" s="2" t="inlineStr">
        <is>
          <t>an der Tuer rechts; Beschriftung lag ausserhalb, auf die Wand gesetzt</t>
        </is>
      </c>
      <c r="H28" s="2">
        <f>IF(B28="Boden",F28,"")</f>
        <v/>
      </c>
    </row>
    <row r="29">
      <c r="A29" s="2" t="n">
        <v>28</v>
      </c>
      <c r="B29" s="2" t="inlineStr">
        <is>
          <t>Boden</t>
        </is>
      </c>
      <c r="C29" s="2" t="n">
        <v>7600</v>
      </c>
      <c r="D29" s="2" t="n">
        <v>828</v>
      </c>
      <c r="E29" s="2" t="n">
        <v>1451</v>
      </c>
      <c r="F29" s="2">
        <f>Parameter!$B$4-E29</f>
        <v/>
      </c>
      <c r="G29" s="2" t="inlineStr">
        <is>
          <t>an der Wand rechts; Beschriftung lag ausserhalb, auf die Wand gesetzt</t>
        </is>
      </c>
      <c r="H29" s="2">
        <f>IF(B29="Boden",F29,"")</f>
        <v/>
      </c>
    </row>
    <row r="30">
      <c r="A30" s="2" t="n">
        <v>29</v>
      </c>
      <c r="B30" s="2" t="inlineStr">
        <is>
          <t>Boden</t>
        </is>
      </c>
      <c r="C30" s="2" t="n">
        <v>7600</v>
      </c>
      <c r="D30" s="2" t="n">
        <v>530</v>
      </c>
      <c r="E30" s="2" t="n">
        <v>1462</v>
      </c>
      <c r="F30" s="2">
        <f>Parameter!$B$4-E30</f>
        <v/>
      </c>
      <c r="G30" s="2" t="inlineStr">
        <is>
          <t>an der Wand rechts; Beschriftung lag ausserhalb, auf die Wand gesetzt</t>
        </is>
      </c>
      <c r="H30" s="2">
        <f>IF(B30="Boden",F30,"")</f>
        <v/>
      </c>
    </row>
    <row r="31">
      <c r="A31" s="2" t="n">
        <v>30</v>
      </c>
      <c r="B31" s="2" t="inlineStr">
        <is>
          <t>Boden</t>
        </is>
      </c>
      <c r="C31" s="2" t="n">
        <v>893</v>
      </c>
      <c r="D31" s="2" t="n">
        <v>746</v>
      </c>
      <c r="E31" s="2" t="n">
        <v>1467</v>
      </c>
      <c r="F31" s="2">
        <f>Parameter!$B$4-E31</f>
        <v/>
      </c>
      <c r="G31" s="2" t="inlineStr"/>
      <c r="H31" s="2">
        <f>IF(B31="Boden",F31,"")</f>
        <v/>
      </c>
    </row>
    <row r="32">
      <c r="A32" s="2" t="n">
        <v>31</v>
      </c>
      <c r="B32" s="2" t="inlineStr">
        <is>
          <t>Boden</t>
        </is>
      </c>
      <c r="C32" s="2" t="n">
        <v>162</v>
      </c>
      <c r="D32" s="2" t="n">
        <v>530</v>
      </c>
      <c r="E32" s="2" t="n">
        <v>1466</v>
      </c>
      <c r="F32" s="2">
        <f>Parameter!$B$4-E32</f>
        <v/>
      </c>
      <c r="G32" s="2" t="inlineStr"/>
      <c r="H32" s="2">
        <f>IF(B32="Boden",F32,"")</f>
        <v/>
      </c>
    </row>
    <row r="33">
      <c r="A33" s="2" t="n">
        <v>32</v>
      </c>
      <c r="B33" s="2" t="inlineStr">
        <is>
          <t>Schwelle</t>
        </is>
      </c>
      <c r="C33" s="2" t="n">
        <v>135</v>
      </c>
      <c r="D33" s="2" t="n">
        <v>195</v>
      </c>
      <c r="E33" s="2" t="n">
        <v>1429</v>
      </c>
      <c r="F33" s="2">
        <f>Parameter!$B$4-E33</f>
        <v/>
      </c>
      <c r="G33" s="2" t="inlineStr">
        <is>
          <t>im Kaestchen gezeichnet</t>
        </is>
      </c>
      <c r="H33" s="2">
        <f>IF(B33="Boden",F33,"")</f>
        <v/>
      </c>
    </row>
    <row r="34">
      <c r="A34" s="2" t="n">
        <v>33</v>
      </c>
      <c r="B34" s="2" t="inlineStr">
        <is>
          <t>Boden</t>
        </is>
      </c>
      <c r="C34" s="2" t="n">
        <v>622</v>
      </c>
      <c r="D34" s="2" t="n">
        <v>195</v>
      </c>
      <c r="E34" s="2" t="n">
        <v>1466</v>
      </c>
      <c r="F34" s="2">
        <f>Parameter!$B$4-E34</f>
        <v/>
      </c>
      <c r="G34" s="2" t="inlineStr"/>
      <c r="H34" s="2">
        <f>IF(B34="Boden",F34,"")</f>
        <v/>
      </c>
    </row>
    <row r="35">
      <c r="A35" s="2" t="n">
        <v>34</v>
      </c>
      <c r="B35" s="2" t="inlineStr">
        <is>
          <t>Boden</t>
        </is>
      </c>
      <c r="C35" s="2" t="n">
        <v>3841</v>
      </c>
      <c r="D35" s="2" t="n">
        <v>828</v>
      </c>
      <c r="E35" s="2" t="n">
        <v>1464</v>
      </c>
      <c r="F35" s="2">
        <f>Parameter!$B$4-E35</f>
        <v/>
      </c>
      <c r="G35" s="2" t="inlineStr"/>
      <c r="H35" s="2">
        <f>IF(B35="Boden",F35,"")</f>
        <v/>
      </c>
    </row>
    <row r="36">
      <c r="A36" s="2" t="n">
        <v>35</v>
      </c>
      <c r="B36" s="2" t="inlineStr">
        <is>
          <t>Boden</t>
        </is>
      </c>
      <c r="C36" s="2" t="n">
        <v>5896</v>
      </c>
      <c r="D36" s="2" t="n">
        <v>828</v>
      </c>
      <c r="E36" s="2" t="n">
        <v>1460</v>
      </c>
      <c r="F36" s="2">
        <f>Parameter!$B$4-E36</f>
        <v/>
      </c>
      <c r="G36" s="2" t="inlineStr"/>
      <c r="H36" s="2">
        <f>IF(B36="Boden",F36,"")</f>
        <v/>
      </c>
    </row>
    <row r="37">
      <c r="A37" s="2" t="n">
        <v>36</v>
      </c>
      <c r="B37" s="2" t="inlineStr">
        <is>
          <t>Boden</t>
        </is>
      </c>
      <c r="C37" s="2" t="n">
        <v>3273</v>
      </c>
      <c r="D37" s="2" t="n">
        <v>368</v>
      </c>
      <c r="E37" s="2" t="n">
        <v>1453</v>
      </c>
      <c r="F37" s="2">
        <f>Parameter!$B$4-E37</f>
        <v/>
      </c>
      <c r="G37" s="2" t="inlineStr"/>
      <c r="H37" s="2">
        <f>IF(B37="Boden",F37,"")</f>
        <v/>
      </c>
    </row>
    <row r="38">
      <c r="A38" s="2" t="n">
        <v>37</v>
      </c>
      <c r="B38" s="2" t="inlineStr">
        <is>
          <t>Schwelle</t>
        </is>
      </c>
      <c r="C38" s="2" t="n">
        <v>3786</v>
      </c>
      <c r="D38" s="2" t="n">
        <v>368</v>
      </c>
      <c r="E38" s="2" t="n">
        <v>1421</v>
      </c>
      <c r="F38" s="2">
        <f>Parameter!$B$4-E38</f>
        <v/>
      </c>
      <c r="G38" s="2" t="inlineStr">
        <is>
          <t>im Kaestchen gezeichnet</t>
        </is>
      </c>
      <c r="H38" s="2">
        <f>IF(B38="Boden",F38,"")</f>
        <v/>
      </c>
    </row>
    <row r="39">
      <c r="A39" s="2" t="n">
        <v>38</v>
      </c>
      <c r="B39" s="2" t="inlineStr">
        <is>
          <t>Boden</t>
        </is>
      </c>
      <c r="C39" s="2" t="n">
        <v>4219</v>
      </c>
      <c r="D39" s="2" t="n">
        <v>379</v>
      </c>
      <c r="E39" s="2" t="n">
        <v>1455</v>
      </c>
      <c r="F39" s="2">
        <f>Parameter!$B$4-E39</f>
        <v/>
      </c>
      <c r="G39" s="2" t="inlineStr"/>
      <c r="H39" s="2">
        <f>IF(B39="Boden",F39,"")</f>
        <v/>
      </c>
    </row>
    <row r="40">
      <c r="A40" s="2" t="n">
        <v>39</v>
      </c>
      <c r="B40" s="2" t="inlineStr">
        <is>
          <t>Boden</t>
        </is>
      </c>
      <c r="C40" s="2" t="n">
        <v>5842</v>
      </c>
      <c r="D40" s="2" t="n">
        <v>395</v>
      </c>
      <c r="E40" s="2" t="n">
        <v>1455</v>
      </c>
      <c r="F40" s="2">
        <f>Parameter!$B$4-E40</f>
        <v/>
      </c>
      <c r="G40" s="2" t="inlineStr"/>
      <c r="H40" s="2">
        <f>IF(B40="Boden",F40,"")</f>
        <v/>
      </c>
    </row>
    <row r="41">
      <c r="A41" s="2" t="n">
        <v>40</v>
      </c>
      <c r="B41" s="2" t="inlineStr">
        <is>
          <t>Boden</t>
        </is>
      </c>
      <c r="C41" s="2" t="n">
        <v>7221</v>
      </c>
      <c r="D41" s="2" t="n">
        <v>0</v>
      </c>
      <c r="E41" s="2" t="n">
        <v>1456</v>
      </c>
      <c r="F41" s="2">
        <f>Parameter!$B$4-E41</f>
        <v/>
      </c>
      <c r="G41" s="2" t="inlineStr">
        <is>
          <t>an der Wand unten rechts; Beschriftung lag ausserhalb, auf die Wand gesetzt</t>
        </is>
      </c>
      <c r="H41" s="2">
        <f>IF(B41="Boden",F41,"")</f>
        <v/>
      </c>
    </row>
    <row r="43">
      <c r="A43" s="3" t="inlineStr">
        <is>
          <t>Auswertung (nur Bereich 'Boden')</t>
        </is>
      </c>
    </row>
    <row r="44">
      <c r="A44" s="2" t="inlineStr">
        <is>
          <t>Punkte</t>
        </is>
      </c>
      <c r="B44" s="2">
        <f>COUNT(H2:H41)</f>
        <v/>
      </c>
    </row>
    <row r="45">
      <c r="A45" s="2" t="inlineStr">
        <is>
          <t>hoechster [mm]</t>
        </is>
      </c>
      <c r="B45" s="2">
        <f>MAX(H2:H41)</f>
        <v/>
      </c>
    </row>
    <row r="46">
      <c r="A46" s="2" t="inlineStr">
        <is>
          <t>tiefster [mm]</t>
        </is>
      </c>
      <c r="B46" s="2">
        <f>MIN(H2:H41)</f>
        <v/>
      </c>
    </row>
    <row r="47">
      <c r="A47" s="2" t="inlineStr">
        <is>
          <t>Spanne [mm]</t>
        </is>
      </c>
      <c r="B47" s="2">
        <f>B45-B46</f>
        <v/>
      </c>
    </row>
    <row r="48">
      <c r="A48" s="2" t="inlineStr">
        <is>
          <t>Mittelwert [mm]</t>
        </is>
      </c>
      <c r="B48" s="2">
        <f>AVERAGE(H2:H41)</f>
        <v/>
      </c>
    </row>
    <row r="49">
      <c r="A49" s="2" t="inlineStr">
        <is>
          <t>Ausgleichsmasse ab tiefstem Punkt [mm]</t>
        </is>
      </c>
      <c r="B49" s="2">
        <f>B47</f>
        <v/>
      </c>
      <c r="C49" s="2" t="inlineStr">
        <is>
          <t>Dicke, die der tiefste Punkt braucht, damit alles auf Hoehe des hoechsten liegt.</t>
        </is>
      </c>
    </row>
  </sheetData>
  <conditionalFormatting sqref="F2:F41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2026-08-01T12:31:22Z</dcterms:created>
  <dcterms:modified xsi:type="dcterms:W3CDTF">2026-08-01T12:31:22Z</dcterms:modified>
</cp:coreProperties>
</file>